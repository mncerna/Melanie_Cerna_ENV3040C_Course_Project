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aniecerna/Downloads/"/>
    </mc:Choice>
  </mc:AlternateContent>
  <xr:revisionPtr revIDLastSave="0" documentId="13_ncr:1_{6182BE24-9036-C348-AA66-E9B747B57EE8}" xr6:coauthVersionLast="47" xr6:coauthVersionMax="47" xr10:uidLastSave="{00000000-0000-0000-0000-000000000000}"/>
  <bookViews>
    <workbookView xWindow="3080" yWindow="2060" windowWidth="28040" windowHeight="17440" xr2:uid="{BEF5B8F6-E56D-E147-91AB-AE99A84C5D5E}"/>
  </bookViews>
  <sheets>
    <sheet name="Sheet1" sheetId="1" r:id="rId1"/>
  </sheets>
  <definedNames>
    <definedName name="cc_est2024_alldata" localSheetId="0">Sheet1!$A$1:$N$38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L16" i="1"/>
  <c r="O16" i="1"/>
  <c r="P16" i="1"/>
  <c r="K3" i="1"/>
  <c r="L3" i="1"/>
  <c r="O3" i="1"/>
  <c r="P3" i="1"/>
  <c r="K2" i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L2" i="1"/>
  <c r="O2" i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P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58EC34-CD98-A248-9B8F-877705CF8438}" name="cc-est2024-alldata" type="6" refreshedVersion="8" background="1" saveData="1">
    <textPr codePage="10000" sourceFile="/Users/melaniecerna/Downloads/cc-est2024-alldata.csv" tab="0" comma="1">
      <textFields count="8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<sst xmlns="http://schemas.openxmlformats.org/spreadsheetml/2006/main" count="88" uniqueCount="61">
  <si>
    <t>SUMLEV</t>
  </si>
  <si>
    <t>STATE</t>
  </si>
  <si>
    <t>COUNTY</t>
  </si>
  <si>
    <t>STNAME</t>
  </si>
  <si>
    <t>CTYNAME</t>
  </si>
  <si>
    <t>YEAR</t>
  </si>
  <si>
    <t>AGEGRP</t>
  </si>
  <si>
    <t>TOT_POP</t>
  </si>
  <si>
    <t>IAC_MALE</t>
  </si>
  <si>
    <t>IAC_FEMALE</t>
  </si>
  <si>
    <t>H_MALE</t>
  </si>
  <si>
    <t>H_FEMALE</t>
  </si>
  <si>
    <t>Jefferson County</t>
  </si>
  <si>
    <t>Lincoln County</t>
  </si>
  <si>
    <t>Polk County</t>
  </si>
  <si>
    <t>Scott County</t>
  </si>
  <si>
    <t>California</t>
  </si>
  <si>
    <t>Mono County</t>
  </si>
  <si>
    <t>Kent County</t>
  </si>
  <si>
    <t>Decatur County</t>
  </si>
  <si>
    <t>Hall County</t>
  </si>
  <si>
    <t>Idaho</t>
  </si>
  <si>
    <t>Payette County</t>
  </si>
  <si>
    <t>Rush County</t>
  </si>
  <si>
    <t>Lyon County</t>
  </si>
  <si>
    <t>Kansas</t>
  </si>
  <si>
    <t>Kearny County</t>
  </si>
  <si>
    <t>Rawlins County</t>
  </si>
  <si>
    <t>Midland County</t>
  </si>
  <si>
    <t>Ramsey County</t>
  </si>
  <si>
    <t>Montana</t>
  </si>
  <si>
    <t>Nebraska</t>
  </si>
  <si>
    <t>Box Butte County</t>
  </si>
  <si>
    <t>Cuming County</t>
  </si>
  <si>
    <t>Deuel County</t>
  </si>
  <si>
    <t>Dundy County</t>
  </si>
  <si>
    <t>Furnas County</t>
  </si>
  <si>
    <t>Kearney County</t>
  </si>
  <si>
    <t>Morrill County</t>
  </si>
  <si>
    <t>Red Willow County</t>
  </si>
  <si>
    <t>Scotts Bluff County</t>
  </si>
  <si>
    <t>Nevada</t>
  </si>
  <si>
    <t>Esmeralda County</t>
  </si>
  <si>
    <t>Eureka County</t>
  </si>
  <si>
    <t>Lander County</t>
  </si>
  <si>
    <t>New Mexico</t>
  </si>
  <si>
    <t>Catron County</t>
  </si>
  <si>
    <t>Hidalgo County</t>
  </si>
  <si>
    <t>Rio Arriba County</t>
  </si>
  <si>
    <t>Sandoval County</t>
  </si>
  <si>
    <t>Socorro County</t>
  </si>
  <si>
    <t>Valencia County</t>
  </si>
  <si>
    <t>North Dakota</t>
  </si>
  <si>
    <t>Traill County</t>
  </si>
  <si>
    <t>Texas</t>
  </si>
  <si>
    <t>Hudspeth County</t>
  </si>
  <si>
    <t>Kenedy County</t>
  </si>
  <si>
    <t>TOT_IAC_POP</t>
  </si>
  <si>
    <t>PER_IAC_POP</t>
  </si>
  <si>
    <t>TOT_H_POP</t>
  </si>
  <si>
    <t>PER_H_POP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</si>
</sst>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c-est2024-alldata" connectionId="1" xr16:uid="{1D15A36A-A277-7244-A3C9-C8EB8BA3832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03AE1-ED4C-0D4C-9A96-EACB3B1B2D0C}">
  <dimension ref="A1:P37"/>
  <sheetViews>
    <sheetView tabSelected="1" zoomScale="150" workbookViewId="0">
      <selection activeCell="A2" sqref="A2:XFD21"/>
    </sheetView>
  </sheetViews>
  <sheetFormatPr baseColWidth="10" defaultRowHeight="16" x14ac:dyDescent="0.2"/>
  <cols>
    <col min="1" max="1" width="7.6640625" bestFit="1" customWidth="1"/>
    <col min="2" max="2" width="5.83203125" bestFit="1" customWidth="1"/>
    <col min="3" max="3" width="8.1640625" bestFit="1" customWidth="1"/>
    <col min="4" max="4" width="17.5" bestFit="1" customWidth="1"/>
    <col min="5" max="5" width="40" bestFit="1" customWidth="1"/>
    <col min="6" max="6" width="5.33203125" bestFit="1" customWidth="1"/>
    <col min="7" max="7" width="8" bestFit="1" customWidth="1"/>
    <col min="8" max="9" width="9.1640625" bestFit="1" customWidth="1"/>
    <col min="10" max="10" width="11.1640625" bestFit="1" customWidth="1"/>
    <col min="11" max="11" width="13.5" customWidth="1"/>
    <col min="12" max="12" width="13.6640625" customWidth="1"/>
    <col min="13" max="13" width="8.1640625" bestFit="1" customWidth="1"/>
    <col min="14" max="14" width="9.6640625" bestFit="1" customWidth="1"/>
    <col min="15" max="15" width="17.5" customWidth="1"/>
    <col min="16" max="16" width="18.1640625" bestFit="1" customWidth="1"/>
  </cols>
  <sheetData>
    <row r="1" spans="1:16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57</v>
      </c>
      <c r="L1" t="s">
        <v>58</v>
      </c>
      <c r="M1" t="s">
        <v>10</v>
      </c>
      <c r="N1" t="s">
        <v>11</v>
      </c>
      <c r="O1" t="s">
        <v>59</v>
      </c>
      <c r="P1" t="s">
        <v>60</v>
      </c>
    </row>
    <row r="2" spans="1:16" x14ac:dyDescent="0.2">
      <c r="A2">
        <v>50</v>
      </c>
      <c r="B2">
        <v>6</v>
      </c>
      <c r="C2">
        <v>51</v>
      </c>
      <c r="D2" t="s">
        <v>16</v>
      </c>
      <c r="E2" t="s">
        <v>17</v>
      </c>
      <c r="F2">
        <v>1</v>
      </c>
      <c r="G2">
        <v>0</v>
      </c>
      <c r="H2">
        <v>13196</v>
      </c>
      <c r="I2">
        <v>289</v>
      </c>
      <c r="J2">
        <v>292</v>
      </c>
      <c r="K2">
        <f t="shared" ref="K2" si="0">SUM(I2:J2)</f>
        <v>581</v>
      </c>
      <c r="L2">
        <f t="shared" ref="L2" si="1">K2/H2</f>
        <v>4.4028493482873597E-2</v>
      </c>
      <c r="M2">
        <v>1847</v>
      </c>
      <c r="N2">
        <v>1648</v>
      </c>
      <c r="O2">
        <f t="shared" ref="O2" si="2">SUM(M2:N2)</f>
        <v>3495</v>
      </c>
      <c r="P2">
        <f t="shared" ref="P2" si="3">O2/H2</f>
        <v>0.26485298575325855</v>
      </c>
    </row>
    <row r="3" spans="1:16" x14ac:dyDescent="0.2">
      <c r="A3">
        <v>50</v>
      </c>
      <c r="B3">
        <v>16</v>
      </c>
      <c r="C3">
        <v>75</v>
      </c>
      <c r="D3" t="s">
        <v>21</v>
      </c>
      <c r="E3" t="s">
        <v>22</v>
      </c>
      <c r="F3">
        <v>1</v>
      </c>
      <c r="G3">
        <v>0</v>
      </c>
      <c r="H3">
        <v>25385</v>
      </c>
      <c r="I3">
        <v>418</v>
      </c>
      <c r="J3">
        <v>396</v>
      </c>
      <c r="K3">
        <f t="shared" ref="K3" si="4">SUM(I3:J3)</f>
        <v>814</v>
      </c>
      <c r="L3">
        <f t="shared" ref="L3" si="5">K3/H3</f>
        <v>3.2066180815442193E-2</v>
      </c>
      <c r="M3">
        <v>2206</v>
      </c>
      <c r="N3">
        <v>2073</v>
      </c>
      <c r="O3">
        <f t="shared" ref="O3" si="6">SUM(M3:N3)</f>
        <v>4279</v>
      </c>
      <c r="P3">
        <f t="shared" ref="P3" si="7">O3/H3</f>
        <v>0.16856411266495963</v>
      </c>
    </row>
    <row r="4" spans="1:16" x14ac:dyDescent="0.2">
      <c r="A4">
        <v>50</v>
      </c>
      <c r="B4">
        <v>20</v>
      </c>
      <c r="C4">
        <v>39</v>
      </c>
      <c r="D4" t="s">
        <v>25</v>
      </c>
      <c r="E4" t="s">
        <v>19</v>
      </c>
      <c r="F4">
        <v>1</v>
      </c>
      <c r="G4">
        <v>0</v>
      </c>
      <c r="H4">
        <v>2752</v>
      </c>
      <c r="I4">
        <v>18</v>
      </c>
      <c r="J4">
        <v>24</v>
      </c>
      <c r="K4">
        <f>SUM(I4:J4)</f>
        <v>42</v>
      </c>
      <c r="L4">
        <f>K4/H4</f>
        <v>1.5261627906976744E-2</v>
      </c>
      <c r="M4">
        <v>38</v>
      </c>
      <c r="N4">
        <v>49</v>
      </c>
      <c r="O4">
        <f>SUM(M4:N4)</f>
        <v>87</v>
      </c>
      <c r="P4">
        <f>O4/H4</f>
        <v>3.1613372093023256E-2</v>
      </c>
    </row>
    <row r="5" spans="1:16" x14ac:dyDescent="0.2">
      <c r="A5">
        <v>50</v>
      </c>
      <c r="B5">
        <v>20</v>
      </c>
      <c r="C5">
        <v>93</v>
      </c>
      <c r="D5" t="s">
        <v>25</v>
      </c>
      <c r="E5" t="s">
        <v>26</v>
      </c>
      <c r="F5">
        <v>1</v>
      </c>
      <c r="G5">
        <v>0</v>
      </c>
      <c r="H5">
        <v>3980</v>
      </c>
      <c r="I5">
        <v>65</v>
      </c>
      <c r="J5">
        <v>57</v>
      </c>
      <c r="K5">
        <f>SUM(I5:J5)</f>
        <v>122</v>
      </c>
      <c r="L5">
        <f>K5/H5</f>
        <v>3.0653266331658293E-2</v>
      </c>
      <c r="M5">
        <v>729</v>
      </c>
      <c r="N5">
        <v>664</v>
      </c>
      <c r="O5">
        <f>SUM(M5:N5)</f>
        <v>1393</v>
      </c>
      <c r="P5">
        <f>O5/H5</f>
        <v>0.35</v>
      </c>
    </row>
    <row r="6" spans="1:16" x14ac:dyDescent="0.2">
      <c r="A6">
        <v>50</v>
      </c>
      <c r="B6">
        <v>20</v>
      </c>
      <c r="C6">
        <v>153</v>
      </c>
      <c r="D6" t="s">
        <v>25</v>
      </c>
      <c r="E6" t="s">
        <v>27</v>
      </c>
      <c r="F6">
        <v>1</v>
      </c>
      <c r="G6">
        <v>0</v>
      </c>
      <c r="H6">
        <v>2568</v>
      </c>
      <c r="I6">
        <v>18</v>
      </c>
      <c r="J6">
        <v>20</v>
      </c>
      <c r="K6">
        <f>SUM(I6:J6)</f>
        <v>38</v>
      </c>
      <c r="L6">
        <f>K6/H6</f>
        <v>1.4797507788161994E-2</v>
      </c>
      <c r="M6">
        <v>96</v>
      </c>
      <c r="N6">
        <v>84</v>
      </c>
      <c r="O6">
        <f>SUM(M6:N6)</f>
        <v>180</v>
      </c>
      <c r="P6">
        <f>O6/H6</f>
        <v>7.0093457943925228E-2</v>
      </c>
    </row>
    <row r="7" spans="1:16" x14ac:dyDescent="0.2">
      <c r="A7">
        <v>50</v>
      </c>
      <c r="B7">
        <v>20</v>
      </c>
      <c r="C7">
        <v>165</v>
      </c>
      <c r="D7" t="s">
        <v>25</v>
      </c>
      <c r="E7" t="s">
        <v>23</v>
      </c>
      <c r="F7">
        <v>1</v>
      </c>
      <c r="G7">
        <v>0</v>
      </c>
      <c r="H7">
        <v>2957</v>
      </c>
      <c r="I7">
        <v>27</v>
      </c>
      <c r="J7">
        <v>28</v>
      </c>
      <c r="K7">
        <f>SUM(I7:J7)</f>
        <v>55</v>
      </c>
      <c r="L7">
        <f>K7/H7</f>
        <v>1.8599932363882313E-2</v>
      </c>
      <c r="M7">
        <v>73</v>
      </c>
      <c r="N7">
        <v>64</v>
      </c>
      <c r="O7">
        <f>SUM(M7:N7)</f>
        <v>137</v>
      </c>
      <c r="P7">
        <f>O7/H7</f>
        <v>4.6330740615488669E-2</v>
      </c>
    </row>
    <row r="8" spans="1:16" x14ac:dyDescent="0.2">
      <c r="A8">
        <v>50</v>
      </c>
      <c r="B8">
        <v>20</v>
      </c>
      <c r="C8">
        <v>171</v>
      </c>
      <c r="D8" t="s">
        <v>25</v>
      </c>
      <c r="E8" t="s">
        <v>15</v>
      </c>
      <c r="F8">
        <v>1</v>
      </c>
      <c r="G8">
        <v>0</v>
      </c>
      <c r="H8">
        <v>5145</v>
      </c>
      <c r="I8">
        <v>50</v>
      </c>
      <c r="J8">
        <v>40</v>
      </c>
      <c r="K8">
        <f>SUM(I8:J8)</f>
        <v>90</v>
      </c>
      <c r="L8">
        <f>K8/H8</f>
        <v>1.7492711370262391E-2</v>
      </c>
      <c r="M8">
        <v>565</v>
      </c>
      <c r="N8">
        <v>457</v>
      </c>
      <c r="O8">
        <f>SUM(M8:N8)</f>
        <v>1022</v>
      </c>
      <c r="P8">
        <f>O8/H8</f>
        <v>0.19863945578231293</v>
      </c>
    </row>
    <row r="9" spans="1:16" x14ac:dyDescent="0.2">
      <c r="A9">
        <v>50</v>
      </c>
      <c r="B9">
        <v>30</v>
      </c>
      <c r="C9">
        <v>43</v>
      </c>
      <c r="D9" t="s">
        <v>30</v>
      </c>
      <c r="E9" t="s">
        <v>12</v>
      </c>
      <c r="F9">
        <v>1</v>
      </c>
      <c r="G9">
        <v>0</v>
      </c>
      <c r="H9">
        <v>12082</v>
      </c>
      <c r="I9">
        <v>223</v>
      </c>
      <c r="J9">
        <v>248</v>
      </c>
      <c r="K9">
        <f>SUM(I9:J9)</f>
        <v>471</v>
      </c>
      <c r="L9">
        <f>K9/H9</f>
        <v>3.8983611984770732E-2</v>
      </c>
      <c r="M9">
        <v>152</v>
      </c>
      <c r="N9">
        <v>136</v>
      </c>
      <c r="O9">
        <f>SUM(M9:N9)</f>
        <v>288</v>
      </c>
      <c r="P9">
        <f>O9/H9</f>
        <v>2.3837113060751532E-2</v>
      </c>
    </row>
    <row r="10" spans="1:16" x14ac:dyDescent="0.2">
      <c r="A10">
        <v>50</v>
      </c>
      <c r="B10">
        <v>31</v>
      </c>
      <c r="C10">
        <v>13</v>
      </c>
      <c r="D10" t="s">
        <v>31</v>
      </c>
      <c r="E10" t="s">
        <v>32</v>
      </c>
      <c r="F10">
        <v>1</v>
      </c>
      <c r="G10">
        <v>0</v>
      </c>
      <c r="H10">
        <v>10833</v>
      </c>
      <c r="I10">
        <v>309</v>
      </c>
      <c r="J10">
        <v>332</v>
      </c>
      <c r="K10">
        <f>SUM(I10:J10)</f>
        <v>641</v>
      </c>
      <c r="L10">
        <f>K10/H10</f>
        <v>5.9171051416966679E-2</v>
      </c>
      <c r="M10">
        <v>627</v>
      </c>
      <c r="N10">
        <v>638</v>
      </c>
      <c r="O10">
        <f>SUM(M10:N10)</f>
        <v>1265</v>
      </c>
      <c r="P10">
        <f>O10/H10</f>
        <v>0.11677282377919321</v>
      </c>
    </row>
    <row r="11" spans="1:16" x14ac:dyDescent="0.2">
      <c r="A11">
        <v>50</v>
      </c>
      <c r="B11">
        <v>31</v>
      </c>
      <c r="C11">
        <v>39</v>
      </c>
      <c r="D11" t="s">
        <v>31</v>
      </c>
      <c r="E11" t="s">
        <v>33</v>
      </c>
      <c r="F11">
        <v>1</v>
      </c>
      <c r="G11">
        <v>0</v>
      </c>
      <c r="H11">
        <v>9012</v>
      </c>
      <c r="I11">
        <v>61</v>
      </c>
      <c r="J11">
        <v>52</v>
      </c>
      <c r="K11">
        <f>SUM(I11:J11)</f>
        <v>113</v>
      </c>
      <c r="L11">
        <f>K11/H11</f>
        <v>1.2538837106080782E-2</v>
      </c>
      <c r="M11">
        <v>587</v>
      </c>
      <c r="N11">
        <v>518</v>
      </c>
      <c r="O11">
        <f>SUM(M11:N11)</f>
        <v>1105</v>
      </c>
      <c r="P11">
        <f>O11/H11</f>
        <v>0.12261429205503772</v>
      </c>
    </row>
    <row r="12" spans="1:16" x14ac:dyDescent="0.2">
      <c r="A12">
        <v>50</v>
      </c>
      <c r="B12">
        <v>31</v>
      </c>
      <c r="C12">
        <v>49</v>
      </c>
      <c r="D12" t="s">
        <v>31</v>
      </c>
      <c r="E12" t="s">
        <v>34</v>
      </c>
      <c r="F12">
        <v>1</v>
      </c>
      <c r="G12">
        <v>0</v>
      </c>
      <c r="H12">
        <v>1839</v>
      </c>
      <c r="I12">
        <v>22</v>
      </c>
      <c r="J12">
        <v>23</v>
      </c>
      <c r="K12">
        <f>SUM(I12:J12)</f>
        <v>45</v>
      </c>
      <c r="L12">
        <f>K12/H12</f>
        <v>2.4469820554649267E-2</v>
      </c>
      <c r="M12">
        <v>59</v>
      </c>
      <c r="N12">
        <v>53</v>
      </c>
      <c r="O12">
        <f>SUM(M12:N12)</f>
        <v>112</v>
      </c>
      <c r="P12">
        <f>O12/H12</f>
        <v>6.0902664491571508E-2</v>
      </c>
    </row>
    <row r="13" spans="1:16" x14ac:dyDescent="0.2">
      <c r="A13">
        <v>50</v>
      </c>
      <c r="B13">
        <v>31</v>
      </c>
      <c r="C13">
        <v>57</v>
      </c>
      <c r="D13" t="s">
        <v>31</v>
      </c>
      <c r="E13" t="s">
        <v>35</v>
      </c>
      <c r="F13">
        <v>1</v>
      </c>
      <c r="G13">
        <v>0</v>
      </c>
      <c r="H13">
        <v>1654</v>
      </c>
      <c r="I13">
        <v>23</v>
      </c>
      <c r="J13">
        <v>21</v>
      </c>
      <c r="K13">
        <f>SUM(I13:J13)</f>
        <v>44</v>
      </c>
      <c r="L13">
        <f>K13/H13</f>
        <v>2.6602176541717048E-2</v>
      </c>
      <c r="M13">
        <v>59</v>
      </c>
      <c r="N13">
        <v>57</v>
      </c>
      <c r="O13">
        <f>SUM(M13:N13)</f>
        <v>116</v>
      </c>
      <c r="P13">
        <f>O13/H13</f>
        <v>7.0133010882708582E-2</v>
      </c>
    </row>
    <row r="14" spans="1:16" x14ac:dyDescent="0.2">
      <c r="A14">
        <v>50</v>
      </c>
      <c r="B14">
        <v>31</v>
      </c>
      <c r="C14">
        <v>65</v>
      </c>
      <c r="D14" t="s">
        <v>31</v>
      </c>
      <c r="E14" t="s">
        <v>36</v>
      </c>
      <c r="F14">
        <v>1</v>
      </c>
      <c r="G14">
        <v>0</v>
      </c>
      <c r="H14">
        <v>4638</v>
      </c>
      <c r="I14">
        <v>33</v>
      </c>
      <c r="J14">
        <v>30</v>
      </c>
      <c r="K14">
        <f>SUM(I14:J14)</f>
        <v>63</v>
      </c>
      <c r="L14">
        <f>K14/H14</f>
        <v>1.3583441138421734E-2</v>
      </c>
      <c r="M14">
        <v>121</v>
      </c>
      <c r="N14">
        <v>97</v>
      </c>
      <c r="O14">
        <f>SUM(M14:N14)</f>
        <v>218</v>
      </c>
      <c r="P14">
        <f>O14/H14</f>
        <v>4.7003018542475204E-2</v>
      </c>
    </row>
    <row r="15" spans="1:16" x14ac:dyDescent="0.2">
      <c r="A15">
        <v>50</v>
      </c>
      <c r="B15">
        <v>31</v>
      </c>
      <c r="C15">
        <v>79</v>
      </c>
      <c r="D15" t="s">
        <v>31</v>
      </c>
      <c r="E15" t="s">
        <v>20</v>
      </c>
      <c r="F15">
        <v>1</v>
      </c>
      <c r="G15">
        <v>0</v>
      </c>
      <c r="H15">
        <v>62900</v>
      </c>
      <c r="I15">
        <v>1002</v>
      </c>
      <c r="J15">
        <v>949</v>
      </c>
      <c r="K15">
        <f>SUM(I15:J15)</f>
        <v>1951</v>
      </c>
      <c r="L15">
        <f>K15/H15</f>
        <v>3.1017488076311606E-2</v>
      </c>
      <c r="M15">
        <v>10205</v>
      </c>
      <c r="N15">
        <v>8955</v>
      </c>
      <c r="O15">
        <f>SUM(M15:N15)</f>
        <v>19160</v>
      </c>
      <c r="P15">
        <f>O15/H15</f>
        <v>0.30461049284578695</v>
      </c>
    </row>
    <row r="16" spans="1:16" x14ac:dyDescent="0.2">
      <c r="A16">
        <v>50</v>
      </c>
      <c r="B16">
        <v>31</v>
      </c>
      <c r="C16">
        <v>99</v>
      </c>
      <c r="D16" t="s">
        <v>31</v>
      </c>
      <c r="E16" t="s">
        <v>37</v>
      </c>
      <c r="F16">
        <v>1</v>
      </c>
      <c r="G16">
        <v>0</v>
      </c>
      <c r="H16">
        <v>6686</v>
      </c>
      <c r="I16">
        <v>34</v>
      </c>
      <c r="J16">
        <v>40</v>
      </c>
      <c r="K16">
        <f>SUM(I16:J16)</f>
        <v>74</v>
      </c>
      <c r="L16">
        <f>K16/H16</f>
        <v>1.1067903081064912E-2</v>
      </c>
      <c r="M16">
        <v>203</v>
      </c>
      <c r="N16">
        <v>191</v>
      </c>
      <c r="O16">
        <f>SUM(M16:N16)</f>
        <v>394</v>
      </c>
      <c r="P16">
        <f>O16/H16</f>
        <v>5.8929105593778043E-2</v>
      </c>
    </row>
    <row r="17" spans="1:16" x14ac:dyDescent="0.2">
      <c r="A17">
        <v>50</v>
      </c>
      <c r="B17">
        <v>31</v>
      </c>
      <c r="C17">
        <v>123</v>
      </c>
      <c r="D17" t="s">
        <v>31</v>
      </c>
      <c r="E17" t="s">
        <v>38</v>
      </c>
      <c r="F17">
        <v>1</v>
      </c>
      <c r="G17">
        <v>0</v>
      </c>
      <c r="H17">
        <v>4559</v>
      </c>
      <c r="I17">
        <v>64</v>
      </c>
      <c r="J17">
        <v>61</v>
      </c>
      <c r="K17">
        <f>SUM(I17:J17)</f>
        <v>125</v>
      </c>
      <c r="L17">
        <f>K17/H17</f>
        <v>2.7418293485413466E-2</v>
      </c>
      <c r="M17">
        <v>346</v>
      </c>
      <c r="N17">
        <v>306</v>
      </c>
      <c r="O17">
        <f>SUM(M17:N17)</f>
        <v>652</v>
      </c>
      <c r="P17">
        <f>O17/H17</f>
        <v>0.14301381881991665</v>
      </c>
    </row>
    <row r="18" spans="1:16" x14ac:dyDescent="0.2">
      <c r="A18">
        <v>50</v>
      </c>
      <c r="B18">
        <v>31</v>
      </c>
      <c r="C18">
        <v>143</v>
      </c>
      <c r="D18" t="s">
        <v>31</v>
      </c>
      <c r="E18" t="s">
        <v>14</v>
      </c>
      <c r="F18">
        <v>1</v>
      </c>
      <c r="G18">
        <v>0</v>
      </c>
      <c r="H18">
        <v>5214</v>
      </c>
      <c r="I18">
        <v>49</v>
      </c>
      <c r="J18">
        <v>33</v>
      </c>
      <c r="K18">
        <f>SUM(I18:J18)</f>
        <v>82</v>
      </c>
      <c r="L18">
        <f>K18/H18</f>
        <v>1.5726889144610665E-2</v>
      </c>
      <c r="M18">
        <v>146</v>
      </c>
      <c r="N18">
        <v>129</v>
      </c>
      <c r="O18">
        <f>SUM(M18:N18)</f>
        <v>275</v>
      </c>
      <c r="P18">
        <f>O18/H18</f>
        <v>5.2742616033755275E-2</v>
      </c>
    </row>
    <row r="19" spans="1:16" x14ac:dyDescent="0.2">
      <c r="A19">
        <v>50</v>
      </c>
      <c r="B19">
        <v>31</v>
      </c>
      <c r="C19">
        <v>145</v>
      </c>
      <c r="D19" t="s">
        <v>31</v>
      </c>
      <c r="E19" t="s">
        <v>39</v>
      </c>
      <c r="F19">
        <v>1</v>
      </c>
      <c r="G19">
        <v>0</v>
      </c>
      <c r="H19">
        <v>10702</v>
      </c>
      <c r="I19">
        <v>75</v>
      </c>
      <c r="J19">
        <v>78</v>
      </c>
      <c r="K19">
        <f>SUM(I19:J19)</f>
        <v>153</v>
      </c>
      <c r="L19">
        <f>K19/H19</f>
        <v>1.4296393197533171E-2</v>
      </c>
      <c r="M19">
        <v>355</v>
      </c>
      <c r="N19">
        <v>313</v>
      </c>
      <c r="O19">
        <f t="shared" ref="O19" si="8">SUM(M19:N19)</f>
        <v>668</v>
      </c>
      <c r="P19">
        <f>O19/H19</f>
        <v>6.2418239581386654E-2</v>
      </c>
    </row>
    <row r="20" spans="1:16" x14ac:dyDescent="0.2">
      <c r="A20">
        <v>50</v>
      </c>
      <c r="B20">
        <v>31</v>
      </c>
      <c r="C20">
        <v>157</v>
      </c>
      <c r="D20" t="s">
        <v>31</v>
      </c>
      <c r="E20" t="s">
        <v>40</v>
      </c>
      <c r="F20">
        <v>1</v>
      </c>
      <c r="G20">
        <v>0</v>
      </c>
      <c r="H20">
        <v>36091</v>
      </c>
      <c r="I20">
        <v>768</v>
      </c>
      <c r="J20">
        <v>834</v>
      </c>
      <c r="K20">
        <f>SUM(I20:J20)</f>
        <v>1602</v>
      </c>
      <c r="L20">
        <f>K20/H20</f>
        <v>4.4387797511845059E-2</v>
      </c>
      <c r="M20">
        <v>4153</v>
      </c>
      <c r="N20">
        <v>4097</v>
      </c>
      <c r="O20">
        <f>SUM(M20:N20)</f>
        <v>8250</v>
      </c>
      <c r="P20">
        <f>O20/H20</f>
        <v>0.22858884486437062</v>
      </c>
    </row>
    <row r="21" spans="1:16" x14ac:dyDescent="0.2">
      <c r="A21">
        <v>50</v>
      </c>
      <c r="B21">
        <v>32</v>
      </c>
      <c r="C21">
        <v>9</v>
      </c>
      <c r="D21" t="s">
        <v>41</v>
      </c>
      <c r="E21" t="s">
        <v>42</v>
      </c>
      <c r="F21">
        <v>1</v>
      </c>
      <c r="G21">
        <v>0</v>
      </c>
      <c r="H21">
        <v>731</v>
      </c>
      <c r="I21">
        <v>34</v>
      </c>
      <c r="J21">
        <v>36</v>
      </c>
      <c r="K21">
        <f>SUM(I21:J21)</f>
        <v>70</v>
      </c>
      <c r="L21">
        <f>K21/H21</f>
        <v>9.575923392612859E-2</v>
      </c>
      <c r="M21">
        <v>76</v>
      </c>
      <c r="N21">
        <v>62</v>
      </c>
      <c r="O21">
        <f>SUM(M21:N21)</f>
        <v>138</v>
      </c>
      <c r="P21">
        <f>O21/H21</f>
        <v>0.18878248974008208</v>
      </c>
    </row>
    <row r="22" spans="1:16" x14ac:dyDescent="0.2">
      <c r="A22">
        <v>50</v>
      </c>
      <c r="B22">
        <v>32</v>
      </c>
      <c r="C22">
        <v>11</v>
      </c>
      <c r="D22" t="s">
        <v>41</v>
      </c>
      <c r="E22" t="s">
        <v>43</v>
      </c>
      <c r="F22">
        <v>1</v>
      </c>
      <c r="G22">
        <v>0</v>
      </c>
      <c r="H22">
        <v>1853</v>
      </c>
      <c r="I22">
        <v>45</v>
      </c>
      <c r="J22">
        <v>45</v>
      </c>
      <c r="K22">
        <f>SUM(I22:J22)</f>
        <v>90</v>
      </c>
      <c r="L22">
        <f>K22/H22</f>
        <v>4.8569886670264434E-2</v>
      </c>
      <c r="M22">
        <v>110</v>
      </c>
      <c r="N22">
        <v>79</v>
      </c>
      <c r="O22">
        <f>SUM(M22:N22)</f>
        <v>189</v>
      </c>
      <c r="P22">
        <f>O22/H22</f>
        <v>0.10199676200755532</v>
      </c>
    </row>
    <row r="23" spans="1:16" x14ac:dyDescent="0.2">
      <c r="A23">
        <v>50</v>
      </c>
      <c r="B23">
        <v>32</v>
      </c>
      <c r="C23">
        <v>15</v>
      </c>
      <c r="D23" t="s">
        <v>41</v>
      </c>
      <c r="E23" t="s">
        <v>44</v>
      </c>
      <c r="F23">
        <v>1</v>
      </c>
      <c r="G23">
        <v>0</v>
      </c>
      <c r="H23">
        <v>5732</v>
      </c>
      <c r="I23">
        <v>213</v>
      </c>
      <c r="J23">
        <v>194</v>
      </c>
      <c r="K23">
        <f>SUM(I23:J23)</f>
        <v>407</v>
      </c>
      <c r="L23">
        <f>K23/H23</f>
        <v>7.1004884856943479E-2</v>
      </c>
      <c r="M23">
        <v>674</v>
      </c>
      <c r="N23">
        <v>593</v>
      </c>
      <c r="O23">
        <f>SUM(M23:N23)</f>
        <v>1267</v>
      </c>
      <c r="P23">
        <f>O23/H23</f>
        <v>0.22103977669225403</v>
      </c>
    </row>
    <row r="24" spans="1:16" x14ac:dyDescent="0.2">
      <c r="A24">
        <v>50</v>
      </c>
      <c r="B24">
        <v>32</v>
      </c>
      <c r="C24">
        <v>17</v>
      </c>
      <c r="D24" t="s">
        <v>41</v>
      </c>
      <c r="E24" t="s">
        <v>13</v>
      </c>
      <c r="F24">
        <v>1</v>
      </c>
      <c r="G24">
        <v>0</v>
      </c>
      <c r="H24">
        <v>4501</v>
      </c>
      <c r="I24">
        <v>77</v>
      </c>
      <c r="J24">
        <v>73</v>
      </c>
      <c r="K24">
        <f>SUM(I24:J24)</f>
        <v>150</v>
      </c>
      <c r="L24">
        <f>K24/H24</f>
        <v>3.3325927571650746E-2</v>
      </c>
      <c r="M24">
        <v>178</v>
      </c>
      <c r="N24">
        <v>115</v>
      </c>
      <c r="O24">
        <f>SUM(M24:N24)</f>
        <v>293</v>
      </c>
      <c r="P24">
        <f>O24/H24</f>
        <v>6.509664518995778E-2</v>
      </c>
    </row>
    <row r="25" spans="1:16" x14ac:dyDescent="0.2">
      <c r="A25">
        <v>50</v>
      </c>
      <c r="B25">
        <v>32</v>
      </c>
      <c r="C25">
        <v>19</v>
      </c>
      <c r="D25" t="s">
        <v>41</v>
      </c>
      <c r="E25" t="s">
        <v>24</v>
      </c>
      <c r="F25">
        <v>1</v>
      </c>
      <c r="G25">
        <v>0</v>
      </c>
      <c r="H25">
        <v>59235</v>
      </c>
      <c r="I25">
        <v>1578</v>
      </c>
      <c r="J25">
        <v>1569</v>
      </c>
      <c r="K25">
        <f>SUM(I25:J25)</f>
        <v>3147</v>
      </c>
      <c r="L25">
        <f>K25/H25</f>
        <v>5.3127374018738918E-2</v>
      </c>
      <c r="M25">
        <v>5622</v>
      </c>
      <c r="N25">
        <v>4775</v>
      </c>
      <c r="O25">
        <f>SUM(M25:N25)</f>
        <v>10397</v>
      </c>
      <c r="P25">
        <f>O25/H25</f>
        <v>0.17552122900312314</v>
      </c>
    </row>
    <row r="26" spans="1:16" x14ac:dyDescent="0.2">
      <c r="A26">
        <v>50</v>
      </c>
      <c r="B26">
        <v>35</v>
      </c>
      <c r="C26">
        <v>3</v>
      </c>
      <c r="D26" t="s">
        <v>45</v>
      </c>
      <c r="E26" t="s">
        <v>46</v>
      </c>
      <c r="F26">
        <v>1</v>
      </c>
      <c r="G26">
        <v>0</v>
      </c>
      <c r="H26">
        <v>3580</v>
      </c>
      <c r="I26">
        <v>118</v>
      </c>
      <c r="J26">
        <v>109</v>
      </c>
      <c r="K26">
        <f>SUM(I26:J26)</f>
        <v>227</v>
      </c>
      <c r="L26">
        <f>K26/H26</f>
        <v>6.3407821229050282E-2</v>
      </c>
      <c r="M26">
        <v>354</v>
      </c>
      <c r="N26">
        <v>268</v>
      </c>
      <c r="O26">
        <f>SUM(M26:N26)</f>
        <v>622</v>
      </c>
      <c r="P26">
        <f>O26/H26</f>
        <v>0.17374301675977655</v>
      </c>
    </row>
    <row r="27" spans="1:16" x14ac:dyDescent="0.2">
      <c r="A27">
        <v>50</v>
      </c>
      <c r="B27">
        <v>35</v>
      </c>
      <c r="C27">
        <v>23</v>
      </c>
      <c r="D27" t="s">
        <v>45</v>
      </c>
      <c r="E27" t="s">
        <v>47</v>
      </c>
      <c r="F27">
        <v>1</v>
      </c>
      <c r="G27">
        <v>0</v>
      </c>
      <c r="H27">
        <v>4177</v>
      </c>
      <c r="I27">
        <v>45</v>
      </c>
      <c r="J27">
        <v>46</v>
      </c>
      <c r="K27">
        <f>SUM(I27:J27)</f>
        <v>91</v>
      </c>
      <c r="L27">
        <f>K27/H27</f>
        <v>2.1785970792434762E-2</v>
      </c>
      <c r="M27">
        <v>1232</v>
      </c>
      <c r="N27">
        <v>1172</v>
      </c>
      <c r="O27">
        <f>SUM(M27:N27)</f>
        <v>2404</v>
      </c>
      <c r="P27">
        <f>O27/H27</f>
        <v>0.57553267895618865</v>
      </c>
    </row>
    <row r="28" spans="1:16" x14ac:dyDescent="0.2">
      <c r="A28">
        <v>50</v>
      </c>
      <c r="B28">
        <v>35</v>
      </c>
      <c r="C28">
        <v>39</v>
      </c>
      <c r="D28" t="s">
        <v>45</v>
      </c>
      <c r="E28" t="s">
        <v>48</v>
      </c>
      <c r="F28">
        <v>1</v>
      </c>
      <c r="G28">
        <v>0</v>
      </c>
      <c r="H28">
        <v>40355</v>
      </c>
      <c r="I28">
        <v>4575</v>
      </c>
      <c r="J28">
        <v>4732</v>
      </c>
      <c r="K28">
        <f>SUM(I28:J28)</f>
        <v>9307</v>
      </c>
      <c r="L28">
        <f>K28/H28</f>
        <v>0.23062817494734233</v>
      </c>
      <c r="M28">
        <v>13493</v>
      </c>
      <c r="N28">
        <v>13688</v>
      </c>
      <c r="O28">
        <f>SUM(M28:N28)</f>
        <v>27181</v>
      </c>
      <c r="P28">
        <f>O28/H28</f>
        <v>0.67354726799653075</v>
      </c>
    </row>
    <row r="29" spans="1:16" x14ac:dyDescent="0.2">
      <c r="A29">
        <v>50</v>
      </c>
      <c r="B29">
        <v>35</v>
      </c>
      <c r="C29">
        <v>43</v>
      </c>
      <c r="D29" t="s">
        <v>45</v>
      </c>
      <c r="E29" t="s">
        <v>49</v>
      </c>
      <c r="F29">
        <v>1</v>
      </c>
      <c r="G29">
        <v>0</v>
      </c>
      <c r="H29">
        <v>148839</v>
      </c>
      <c r="I29">
        <v>11503</v>
      </c>
      <c r="J29">
        <v>12106</v>
      </c>
      <c r="K29">
        <f>SUM(I29:J29)</f>
        <v>23609</v>
      </c>
      <c r="L29">
        <f>K29/H29</f>
        <v>0.15862106034036777</v>
      </c>
      <c r="M29">
        <v>28636</v>
      </c>
      <c r="N29">
        <v>29057</v>
      </c>
      <c r="O29">
        <f>SUM(M29:N29)</f>
        <v>57693</v>
      </c>
      <c r="P29">
        <f>O29/H29</f>
        <v>0.38762018019470701</v>
      </c>
    </row>
    <row r="30" spans="1:16" x14ac:dyDescent="0.2">
      <c r="A30">
        <v>50</v>
      </c>
      <c r="B30">
        <v>35</v>
      </c>
      <c r="C30">
        <v>53</v>
      </c>
      <c r="D30" t="s">
        <v>45</v>
      </c>
      <c r="E30" t="s">
        <v>50</v>
      </c>
      <c r="F30">
        <v>1</v>
      </c>
      <c r="G30">
        <v>0</v>
      </c>
      <c r="H30">
        <v>16601</v>
      </c>
      <c r="I30">
        <v>1317</v>
      </c>
      <c r="J30">
        <v>1405</v>
      </c>
      <c r="K30">
        <f>SUM(I30:J30)</f>
        <v>2722</v>
      </c>
      <c r="L30">
        <f>K30/H30</f>
        <v>0.16396602614300343</v>
      </c>
      <c r="M30">
        <v>4235</v>
      </c>
      <c r="N30">
        <v>4108</v>
      </c>
      <c r="O30">
        <f>SUM(M30:N30)</f>
        <v>8343</v>
      </c>
      <c r="P30">
        <f>O30/H30</f>
        <v>0.50256008674176256</v>
      </c>
    </row>
    <row r="31" spans="1:16" x14ac:dyDescent="0.2">
      <c r="A31">
        <v>50</v>
      </c>
      <c r="B31">
        <v>35</v>
      </c>
      <c r="C31">
        <v>61</v>
      </c>
      <c r="D31" t="s">
        <v>45</v>
      </c>
      <c r="E31" t="s">
        <v>51</v>
      </c>
      <c r="F31">
        <v>1</v>
      </c>
      <c r="G31">
        <v>0</v>
      </c>
      <c r="H31">
        <v>76337</v>
      </c>
      <c r="I31">
        <v>3253</v>
      </c>
      <c r="J31">
        <v>3113</v>
      </c>
      <c r="K31">
        <f>SUM(I31:J31)</f>
        <v>6366</v>
      </c>
      <c r="L31">
        <f>K31/H31</f>
        <v>8.3393374117400471E-2</v>
      </c>
      <c r="M31">
        <v>23223</v>
      </c>
      <c r="N31">
        <v>22677</v>
      </c>
      <c r="O31">
        <f>SUM(M31:N31)</f>
        <v>45900</v>
      </c>
      <c r="P31">
        <f>O31/H31</f>
        <v>0.60128116116693087</v>
      </c>
    </row>
    <row r="32" spans="1:16" x14ac:dyDescent="0.2">
      <c r="A32">
        <v>50</v>
      </c>
      <c r="B32">
        <v>38</v>
      </c>
      <c r="C32">
        <v>71</v>
      </c>
      <c r="D32" t="s">
        <v>52</v>
      </c>
      <c r="E32" t="s">
        <v>29</v>
      </c>
      <c r="F32">
        <v>1</v>
      </c>
      <c r="G32">
        <v>0</v>
      </c>
      <c r="H32">
        <v>11612</v>
      </c>
      <c r="I32">
        <v>722</v>
      </c>
      <c r="J32">
        <v>732</v>
      </c>
      <c r="K32">
        <f>SUM(I32:J32)</f>
        <v>1454</v>
      </c>
      <c r="L32">
        <f>K32/H32</f>
        <v>0.12521529452290733</v>
      </c>
      <c r="M32">
        <v>159</v>
      </c>
      <c r="N32">
        <v>142</v>
      </c>
      <c r="O32">
        <f>SUM(M32:N32)</f>
        <v>301</v>
      </c>
      <c r="P32">
        <f>O32/H32</f>
        <v>2.5921460558043403E-2</v>
      </c>
    </row>
    <row r="33" spans="1:16" x14ac:dyDescent="0.2">
      <c r="A33">
        <v>50</v>
      </c>
      <c r="B33">
        <v>38</v>
      </c>
      <c r="C33">
        <v>97</v>
      </c>
      <c r="D33" t="s">
        <v>52</v>
      </c>
      <c r="E33" t="s">
        <v>53</v>
      </c>
      <c r="F33">
        <v>1</v>
      </c>
      <c r="G33">
        <v>0</v>
      </c>
      <c r="H33">
        <v>7990</v>
      </c>
      <c r="I33">
        <v>89</v>
      </c>
      <c r="J33">
        <v>96</v>
      </c>
      <c r="K33">
        <f>SUM(I33:J33)</f>
        <v>185</v>
      </c>
      <c r="L33">
        <f>K33/H33</f>
        <v>2.3153942428035045E-2</v>
      </c>
      <c r="M33">
        <v>155</v>
      </c>
      <c r="N33">
        <v>132</v>
      </c>
      <c r="O33">
        <f>SUM(M33:N33)</f>
        <v>287</v>
      </c>
      <c r="P33">
        <f>O33/H33</f>
        <v>3.5919899874843557E-2</v>
      </c>
    </row>
    <row r="34" spans="1:16" x14ac:dyDescent="0.2">
      <c r="A34">
        <v>50</v>
      </c>
      <c r="B34">
        <v>48</v>
      </c>
      <c r="C34">
        <v>229</v>
      </c>
      <c r="D34" t="s">
        <v>54</v>
      </c>
      <c r="E34" t="s">
        <v>55</v>
      </c>
      <c r="F34">
        <v>1</v>
      </c>
      <c r="G34">
        <v>0</v>
      </c>
      <c r="H34">
        <v>3202</v>
      </c>
      <c r="I34">
        <v>37</v>
      </c>
      <c r="J34">
        <v>33</v>
      </c>
      <c r="K34">
        <f>SUM(I34:J34)</f>
        <v>70</v>
      </c>
      <c r="L34">
        <f>K34/H34</f>
        <v>2.1861336664584636E-2</v>
      </c>
      <c r="M34">
        <v>1292</v>
      </c>
      <c r="N34">
        <v>713</v>
      </c>
      <c r="O34">
        <f>SUM(M34:N34)</f>
        <v>2005</v>
      </c>
      <c r="P34">
        <f>O34/H34</f>
        <v>0.62617114303560273</v>
      </c>
    </row>
    <row r="35" spans="1:16" x14ac:dyDescent="0.2">
      <c r="A35">
        <v>50</v>
      </c>
      <c r="B35">
        <v>48</v>
      </c>
      <c r="C35">
        <v>261</v>
      </c>
      <c r="D35" t="s">
        <v>54</v>
      </c>
      <c r="E35" t="s">
        <v>56</v>
      </c>
      <c r="F35">
        <v>1</v>
      </c>
      <c r="G35">
        <v>0</v>
      </c>
      <c r="H35">
        <v>351</v>
      </c>
      <c r="I35">
        <v>5</v>
      </c>
      <c r="J35">
        <v>6</v>
      </c>
      <c r="K35">
        <f>SUM(I35:J35)</f>
        <v>11</v>
      </c>
      <c r="L35">
        <f>K35/H35</f>
        <v>3.1339031339031341E-2</v>
      </c>
      <c r="M35">
        <v>136</v>
      </c>
      <c r="N35">
        <v>130</v>
      </c>
      <c r="O35">
        <f>SUM(M35:N35)</f>
        <v>266</v>
      </c>
      <c r="P35">
        <f>O35/H35</f>
        <v>0.75783475783475784</v>
      </c>
    </row>
    <row r="36" spans="1:16" x14ac:dyDescent="0.2">
      <c r="A36">
        <v>50</v>
      </c>
      <c r="B36">
        <v>48</v>
      </c>
      <c r="C36">
        <v>263</v>
      </c>
      <c r="D36" t="s">
        <v>54</v>
      </c>
      <c r="E36" t="s">
        <v>18</v>
      </c>
      <c r="F36">
        <v>1</v>
      </c>
      <c r="G36">
        <v>0</v>
      </c>
      <c r="H36">
        <v>751</v>
      </c>
      <c r="I36">
        <v>16</v>
      </c>
      <c r="J36">
        <v>11</v>
      </c>
      <c r="K36">
        <f>SUM(I36:J36)</f>
        <v>27</v>
      </c>
      <c r="L36">
        <f>K36/H36</f>
        <v>3.5952063914780293E-2</v>
      </c>
      <c r="M36">
        <v>60</v>
      </c>
      <c r="N36">
        <v>54</v>
      </c>
      <c r="O36">
        <f t="shared" ref="O36" si="9">SUM(M36:N36)</f>
        <v>114</v>
      </c>
      <c r="P36">
        <f>O36/H36</f>
        <v>0.15179760319573901</v>
      </c>
    </row>
    <row r="37" spans="1:16" x14ac:dyDescent="0.2">
      <c r="A37">
        <v>50</v>
      </c>
      <c r="B37">
        <v>48</v>
      </c>
      <c r="C37">
        <v>329</v>
      </c>
      <c r="D37" t="s">
        <v>54</v>
      </c>
      <c r="E37" t="s">
        <v>28</v>
      </c>
      <c r="F37">
        <v>1</v>
      </c>
      <c r="G37">
        <v>0</v>
      </c>
      <c r="H37">
        <v>170340</v>
      </c>
      <c r="I37">
        <v>1605</v>
      </c>
      <c r="J37">
        <v>1389</v>
      </c>
      <c r="K37">
        <f>SUM(I37:J37)</f>
        <v>2994</v>
      </c>
      <c r="L37">
        <f>K37/H37</f>
        <v>1.7576611482916518E-2</v>
      </c>
      <c r="M37">
        <v>37869</v>
      </c>
      <c r="N37">
        <v>35647</v>
      </c>
      <c r="O37">
        <f>SUM(M37:N37)</f>
        <v>73516</v>
      </c>
      <c r="P37">
        <f>O37/H37</f>
        <v>0.43158389104144651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Sheet1!cc_est2024_alldata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Cerna</dc:creator>
  <cp:lastModifiedBy>Melanie Cerna</cp:lastModifiedBy>
  <dcterms:created xsi:type="dcterms:W3CDTF">2025-11-20T01:03:56Z</dcterms:created>
  <dcterms:modified xsi:type="dcterms:W3CDTF">2025-11-20T02:54:08Z</dcterms:modified>
</cp:coreProperties>
</file>